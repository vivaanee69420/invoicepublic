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Per-Case Economics" sheetId="3" state="visible" r:id="rId3"/>
    <sheet name="Marketing Funnel" sheetId="4" state="visible" r:id="rId4"/>
    <sheet name="Growth Scenarios" sheetId="5" state="visible" r:id="rId5"/>
    <sheet name="30% Margin Solver" sheetId="6" state="visible" r:id="rId6"/>
    <sheet name="Sensitiv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£&quot;#,##0"/>
    <numFmt numFmtId="165" formatCode="0.0"/>
    <numFmt numFmtId="166" formatCode="0.0%"/>
    <numFmt numFmtId="167" formatCode="#,##0.0"/>
    <numFmt numFmtId="168" formatCode="0.0&quot;x&quot;"/>
  </numFmts>
  <fonts count="12">
    <font>
      <name val="Calibri"/>
      <family val="2"/>
      <color theme="1"/>
      <sz val="11"/>
      <scheme val="minor"/>
    </font>
    <font>
      <b val="1"/>
      <color rgb="001F3864"/>
      <sz val="18"/>
    </font>
    <font>
      <name val="Calibri"/>
      <sz val="11"/>
    </font>
    <font>
      <b val="1"/>
      <color rgb="002E5496"/>
      <sz val="12"/>
    </font>
    <font>
      <name val="Calibri"/>
      <i val="1"/>
      <color rgb="00555555"/>
      <sz val="9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FFFFFF"/>
      <sz val="11"/>
    </font>
    <font>
      <color rgb="00FFFFFF"/>
    </font>
    <font>
      <b val="1"/>
      <i val="1"/>
      <color rgb="002E5496"/>
    </font>
    <font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9" fontId="7" fillId="4" borderId="1" applyAlignment="1" pivotButton="0" quotePrefix="0" xfId="0">
      <alignment horizontal="right" vertical="center"/>
    </xf>
    <xf numFmtId="0" fontId="7" fillId="0" borderId="0" pivotButton="0" quotePrefix="0" xfId="0"/>
    <xf numFmtId="164" fontId="8" fillId="3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0" fillId="4" borderId="0" pivotButton="0" quotePrefix="0" xfId="0"/>
    <xf numFmtId="0" fontId="9" fillId="3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right" vertical="center"/>
    </xf>
    <xf numFmtId="166" fontId="8" fillId="3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9" fontId="0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 wrapText="1"/>
    </xf>
    <xf numFmtId="164" fontId="8" fillId="3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INVISALIGN DOMINATION — ROI &amp; GROWTH CALCULATOR</t>
        </is>
      </c>
    </row>
    <row r="3" ht="15" customHeight="1">
      <c r="B3" s="2" t="inlineStr"/>
    </row>
    <row r="4">
      <c r="B4" s="3" t="inlineStr">
        <is>
          <t>HOW TO USE</t>
        </is>
      </c>
    </row>
    <row r="5" ht="30" customHeight="1">
      <c r="B5" s="2" t="inlineStr">
        <is>
          <t>1. Go to the ASSUMPTIONS sheet. Every cell shaded YELLOW is editable — these are your levers.</t>
        </is>
      </c>
    </row>
    <row r="6" ht="30" customHeight="1">
      <c r="B6" s="2" t="inlineStr">
        <is>
          <t>2. Everything else recalculates automatically: per-case profit, the marketing funnel, the 4 growth scenarios, the 30% margin solver and the sensitivity tables.</t>
        </is>
      </c>
    </row>
    <row r="7" ht="30" customHeight="1">
      <c r="B7" s="2" t="inlineStr">
        <is>
          <t>3. Start by entering your REAL numbers where you have them (current fee, current monthly case starts, current ad spend). Benchmarks are pre-filled where you don't.</t>
        </is>
      </c>
    </row>
    <row r="8" ht="15" customHeight="1">
      <c r="B8" s="2" t="inlineStr"/>
    </row>
    <row r="9">
      <c r="B9" s="3" t="inlineStr">
        <is>
          <t>THE SHEETS</t>
        </is>
      </c>
    </row>
    <row r="10" ht="15" customHeight="1">
      <c r="B10" s="2" t="inlineStr">
        <is>
          <t>• Assumptions ........ all editable inputs (pricing, COGS, clinical, marketing, overhead).</t>
        </is>
      </c>
    </row>
    <row r="11" ht="15" customHeight="1">
      <c r="B11" s="2" t="inlineStr">
        <is>
          <t>• Per-Case Economics . profit &amp; margin on a single case, by product and blended.</t>
        </is>
      </c>
    </row>
    <row r="12" ht="15" customHeight="1">
      <c r="B12" s="2" t="inlineStr">
        <is>
          <t>• Marketing Funnel ... ad spend → leads → consults → started cases → revenue &amp; ROAS.</t>
        </is>
      </c>
    </row>
    <row r="13" ht="15" customHeight="1">
      <c r="B13" s="2" t="inlineStr">
        <is>
          <t>• Growth Scenarios ... full annual P&amp;L across Current → Year 1 → Year 2 → Domination.</t>
        </is>
      </c>
    </row>
    <row r="14" ht="30" customHeight="1">
      <c r="B14" s="2" t="inlineStr">
        <is>
          <t>• 30% Margin Solver .. shows exactly which levers get Invisalign to a 30%+ net margin (implant-level).</t>
        </is>
      </c>
    </row>
    <row r="15" ht="15" customHeight="1">
      <c r="B15" s="2" t="inlineStr">
        <is>
          <t>• Sensitivity ........ how net margin moves with fee, CPA and associate split.</t>
        </is>
      </c>
    </row>
    <row r="16" ht="15" customHeight="1">
      <c r="B16" s="2" t="inlineStr"/>
    </row>
    <row r="17">
      <c r="B17" s="3" t="inlineStr">
        <is>
          <t>THE BIG QUESTION: CAN INVISALIGN HIT A 30% NET MARGIN LIKE IMPLANTS?</t>
        </is>
      </c>
    </row>
    <row r="18" ht="30" customHeight="1">
      <c r="B18" s="2" t="inlineStr">
        <is>
          <t>Short answer: YES — but only when FIVE things are true at once: (a) premium fee held (£3.8k+ blended), (b) COGS driven down with tier discount (Platinum→Diamond→Apex unlocks ~30–46% off Align lab fees), (c) blended CPA controlled (£150–250 by mixing organic/referral with paid), (d) fixed overhead diluted by volume, and — the biggest lever — (e) clinical delivery cost controlled: a 45% associate split caps net margin near 25%; an owner-leveraged or low-split/TCO-heavy delivery model is what pushes it to 35%+. The Solver sheet quantifies each lever.</t>
        </is>
      </c>
    </row>
    <row r="19" ht="15" customHeight="1">
      <c r="B19" s="2" t="inlineStr"/>
    </row>
    <row r="20">
      <c r="B20" s="3" t="inlineStr">
        <is>
          <t>DATA PROVENANCE / HEALTH WARNING</t>
        </is>
      </c>
    </row>
    <row r="21" ht="30" customHeight="1">
      <c r="B21" s="2" t="inlineStr">
        <is>
          <t>Pre-filled benchmarks are UK 2023–2026 figures sourced in 02-MARKET-ECONOMICS.md. Align Technology does NOT publish UK wholesale lab fees, so COGS figures are triangulated from Align's global ASP (~$1,335/case, 2023, VERIFIED) plus US tier-discount data — treat COGS as ESTIMATE and replace with your actual Align invoices. CPC/CPL/CPA ranges come from UK dental marketing agencies (directional). Replace every estimate with your own data as you get it.</t>
        </is>
      </c>
    </row>
    <row r="22" ht="15" customHeight="1">
      <c r="B22" s="2" t="inlineStr"/>
    </row>
    <row r="23">
      <c r="B23" s="4" t="inlineStr">
        <is>
          <t>Built for: Kent &amp; North London multi-site group  |  Currency: GBP  |  v1.0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4" customWidth="1" min="3" max="3"/>
    <col width="10" customWidth="1" min="4" max="4"/>
    <col width="60" customWidth="1" min="5" max="5"/>
  </cols>
  <sheetData>
    <row r="2" ht="26" customHeight="1">
      <c r="B2" s="5" t="inlineStr">
        <is>
          <t>ASSUMPTIONS  —  edit YELLOW cells only</t>
        </is>
      </c>
    </row>
    <row r="4">
      <c r="B4" s="6" t="inlineStr">
        <is>
          <t>1 · PATIENT PRICING (£, your private fee)</t>
        </is>
      </c>
    </row>
    <row r="5">
      <c r="B5" s="7" t="inlineStr">
        <is>
          <t>Comprehensive / Full fee</t>
        </is>
      </c>
      <c r="C5" s="8" t="n">
        <v>4500</v>
      </c>
      <c r="E5" s="9" t="inlineStr">
        <is>
          <t>UK £3,500–5,500+; London +20–30%. Kent suburban premium ~£4,000–4,750.</t>
        </is>
      </c>
    </row>
    <row r="6">
      <c r="B6" s="7" t="inlineStr">
        <is>
          <t>Lite fee</t>
        </is>
      </c>
      <c r="C6" s="8" t="n">
        <v>2950</v>
      </c>
      <c r="E6" s="9" t="inlineStr">
        <is>
          <t>UK £2,500–3,800.</t>
        </is>
      </c>
    </row>
    <row r="7">
      <c r="B7" s="7" t="inlineStr">
        <is>
          <t>i7 / Express fee</t>
        </is>
      </c>
      <c r="C7" s="8" t="n">
        <v>1800</v>
      </c>
      <c r="E7" s="9" t="inlineStr">
        <is>
          <t>UK £1,200–2,499.</t>
        </is>
      </c>
    </row>
    <row r="8">
      <c r="B8" s="7" t="inlineStr">
        <is>
          <t>% of starts: Comprehensive</t>
        </is>
      </c>
      <c r="C8" s="10" t="n">
        <v>0.45</v>
      </c>
      <c r="E8" s="9" t="inlineStr">
        <is>
          <t>Product mix — must total 100% with the next two.</t>
        </is>
      </c>
    </row>
    <row r="9">
      <c r="B9" s="7" t="inlineStr">
        <is>
          <t>% of starts: Lite</t>
        </is>
      </c>
      <c r="C9" s="10" t="n">
        <v>0.4</v>
      </c>
      <c r="E9" s="9" t="inlineStr"/>
    </row>
    <row r="10">
      <c r="B10" s="7" t="inlineStr">
        <is>
          <t>% of starts: i7 / Express</t>
        </is>
      </c>
      <c r="C10" s="10" t="n">
        <v>0.15</v>
      </c>
      <c r="E10" s="9" t="inlineStr"/>
    </row>
    <row r="11">
      <c r="B11" s="11" t="inlineStr">
        <is>
          <t>→ Blended average fee</t>
        </is>
      </c>
      <c r="C11" s="12">
        <f>C5*C8+C6*C9+C7*C10</f>
        <v/>
      </c>
      <c r="E11" s="4" t="inlineStr">
        <is>
          <t>Auto-calculated weighted average fee per started case.</t>
        </is>
      </c>
    </row>
    <row r="13">
      <c r="B13" s="6" t="inlineStr">
        <is>
          <t>2 · COST OF GOODS (Align lab fees &amp; consumables)</t>
        </is>
      </c>
    </row>
    <row r="14">
      <c r="B14" s="7" t="inlineStr">
        <is>
          <t>Align lab fee — Comprehensive (list)</t>
        </is>
      </c>
      <c r="C14" s="8" t="n">
        <v>1300</v>
      </c>
      <c r="E14" s="9" t="inlineStr">
        <is>
          <t>ESTIMATE. Align global ASP ~$1,335 (VERIFIED). UK list ~£900–1,300.</t>
        </is>
      </c>
    </row>
    <row r="15">
      <c r="B15" s="7" t="inlineStr">
        <is>
          <t>Align lab fee — Lite (list)</t>
        </is>
      </c>
      <c r="C15" s="8" t="n">
        <v>750</v>
      </c>
      <c r="E15" s="9" t="inlineStr">
        <is>
          <t>ESTIMATE ~£500–800.</t>
        </is>
      </c>
    </row>
    <row r="16">
      <c r="B16" s="7" t="inlineStr">
        <is>
          <t>Align lab fee — i7 (list)</t>
        </is>
      </c>
      <c r="C16" s="8" t="n">
        <v>450</v>
      </c>
      <c r="E16" s="9" t="inlineStr">
        <is>
          <t>ESTIMATE ~£300–500.</t>
        </is>
      </c>
    </row>
    <row r="17">
      <c r="B17" s="7" t="inlineStr">
        <is>
          <t>Tier discount on lab fee</t>
        </is>
      </c>
      <c r="C17" s="10" t="n">
        <v>0.3</v>
      </c>
      <c r="E17" s="9" t="inlineStr">
        <is>
          <t>Silver ~10% → Diamond ~38% → Apex ~46% (US-derived). YOUR LEVER.</t>
        </is>
      </c>
    </row>
    <row r="18">
      <c r="B18" s="7" t="inlineStr">
        <is>
          <t>Vivera retainer cost to practice / case</t>
        </is>
      </c>
      <c r="C18" s="8" t="n">
        <v>200</v>
      </c>
      <c r="E18" s="9" t="inlineStr">
        <is>
          <t>£250–500/arch; allow 1 set. Often re-charged to patient.</t>
        </is>
      </c>
    </row>
    <row r="19">
      <c r="B19" s="7" t="inlineStr">
        <is>
          <t>Other consumables / case (attachments, IPR, scans)</t>
        </is>
      </c>
      <c r="C19" s="8" t="n">
        <v>75</v>
      </c>
      <c r="E19" s="9" t="inlineStr">
        <is>
          <t>ESTIMATE.</t>
        </is>
      </c>
    </row>
    <row r="20">
      <c r="B20" s="11" t="inlineStr">
        <is>
          <t>→ Blended COGS per case (after tier discount)</t>
        </is>
      </c>
      <c r="C20" s="12">
        <f>(C14*C8+C15*C9+C16*C10)*(1-C17)+C18+C19</f>
        <v/>
      </c>
      <c r="E20" s="4" t="inlineStr">
        <is>
          <t>Weighted lab fee × (1 − tier discount) + retainer + consumables.</t>
        </is>
      </c>
    </row>
    <row r="22">
      <c r="B22" s="6" t="inlineStr">
        <is>
          <t>3 · CLINICAL DELIVERY</t>
        </is>
      </c>
    </row>
    <row r="23">
      <c r="B23" s="7" t="inlineStr">
        <is>
          <t>Associate pay (% of fee AFTER lab fee)</t>
        </is>
      </c>
      <c r="C23" s="10" t="n">
        <v>0.45</v>
      </c>
      <c r="E23" s="9" t="inlineStr">
        <is>
          <t>UK 40–55% of gross after lab. Set to 0% if PRINCIPAL delivers (see note).</t>
        </is>
      </c>
    </row>
    <row r="24">
      <c r="B24" s="7" t="inlineStr">
        <is>
          <t>Active chair hours per case</t>
        </is>
      </c>
      <c r="C24" s="13" t="n">
        <v>4</v>
      </c>
      <c r="E24" s="9" t="inlineStr">
        <is>
          <t>Consult+scan+fit+reviews+refinements ~3–5 hrs.</t>
        </is>
      </c>
    </row>
    <row r="25">
      <c r="B25" s="7" t="inlineStr">
        <is>
          <t>Notional principal chair cost / hour</t>
        </is>
      </c>
      <c r="C25" s="8" t="n">
        <v>150</v>
      </c>
      <c r="E25" s="9" t="inlineStr">
        <is>
          <t>Used only when associate % = 0, to value owner time honestly.</t>
        </is>
      </c>
    </row>
    <row r="26">
      <c r="B26" s="11" t="inlineStr">
        <is>
          <t>→ Clinical cost per case</t>
        </is>
      </c>
      <c r="C26" s="12">
        <f>IF(C23&gt;0,(C11-C20)*C23,C24*C25)</f>
        <v/>
      </c>
      <c r="E26" s="4" t="inlineStr">
        <is>
          <t>Associate split of (fee−COGS), OR owner hours×rate if associate %=0.</t>
        </is>
      </c>
    </row>
    <row r="28">
      <c r="B28" s="6" t="inlineStr">
        <is>
          <t>4 · MARKETING FUNNEL (per channel blend)</t>
        </is>
      </c>
    </row>
    <row r="29">
      <c r="B29" s="7" t="inlineStr">
        <is>
          <t>Cost per lead (blended Google+Meta)</t>
        </is>
      </c>
      <c r="C29" s="8" t="n">
        <v>60</v>
      </c>
      <c r="E29" s="9" t="inlineStr">
        <is>
          <t>Google £45–200; Meta £25–75. Blended ESTIMATE.</t>
        </is>
      </c>
    </row>
    <row r="30">
      <c r="B30" s="7" t="inlineStr">
        <is>
          <t>Lead → consult booked</t>
        </is>
      </c>
      <c r="C30" s="10" t="n">
        <v>0.55</v>
      </c>
      <c r="E30" s="9" t="inlineStr">
        <is>
          <t>Speed-to-lead &amp; TCO follow-up drive this.</t>
        </is>
      </c>
    </row>
    <row r="31">
      <c r="B31" s="7" t="inlineStr">
        <is>
          <t>Consult booked → attended (show rate)</t>
        </is>
      </c>
      <c r="C31" s="10" t="n">
        <v>0.8</v>
      </c>
      <c r="E31" s="9" t="inlineStr">
        <is>
          <t>Deposit/reminders lift show rate.</t>
        </is>
      </c>
    </row>
    <row r="32">
      <c r="B32" s="7" t="inlineStr">
        <is>
          <t>Consult attended → case STARTED</t>
        </is>
      </c>
      <c r="C32" s="10" t="n">
        <v>0.7</v>
      </c>
      <c r="E32" s="9" t="inlineStr">
        <is>
          <t>TCO benchmark 64–68% avg, 75%+ excellent (VERIFIED).</t>
        </is>
      </c>
    </row>
    <row r="33">
      <c r="B33" s="7" t="inlineStr">
        <is>
          <t>% of starts from PAID (vs organic/referral)</t>
        </is>
      </c>
      <c r="C33" s="10" t="n">
        <v>0.6</v>
      </c>
      <c r="E33" s="9" t="inlineStr">
        <is>
          <t>Lower = cheaper blended CPA. Organic/referral assumed near-zero marginal cost.</t>
        </is>
      </c>
    </row>
    <row r="34">
      <c r="B34" s="11" t="inlineStr">
        <is>
          <t>→ Cost per STARTED case (paid only)</t>
        </is>
      </c>
      <c r="C34" s="12">
        <f>C29/(C30*C31*C32)</f>
        <v/>
      </c>
      <c r="E34" s="4" t="inlineStr">
        <is>
          <t>CPL ÷ (book × show × close). This is the honest CPA, not a quoted number.</t>
        </is>
      </c>
    </row>
    <row r="35">
      <c r="B35" s="11" t="inlineStr">
        <is>
          <t>→ BLENDED marketing cost per started case</t>
        </is>
      </c>
      <c r="C35" s="14">
        <f>C34*C33</f>
        <v/>
      </c>
      <c r="E35" s="4" t="inlineStr">
        <is>
          <t>Paid CPA × paid share (organic/referral starts carry ~no marginal cost).</t>
        </is>
      </c>
    </row>
    <row r="37">
      <c r="B37" s="6" t="inlineStr">
        <is>
          <t>5 · OVERHEAD</t>
        </is>
      </c>
    </row>
    <row r="38">
      <c r="B38" s="7" t="inlineStr">
        <is>
          <t>Variable admin / TCO / finance fees per case</t>
        </is>
      </c>
      <c r="C38" s="8" t="n">
        <v>175</v>
      </c>
      <c r="E38" s="9" t="inlineStr">
        <is>
          <t>TCO commission, 0% finance subsidy (~2–4% of fee), card fees, admin.</t>
        </is>
      </c>
    </row>
    <row r="39">
      <c r="B39" s="7" t="inlineStr">
        <is>
          <t>Fixed overhead allocated to Invisalign / year</t>
        </is>
      </c>
      <c r="C39" s="8" t="n">
        <v>60000</v>
      </c>
      <c r="E39" s="9" t="inlineStr">
        <is>
          <t>Share of rent, reception, software, equipment. Spread over annual volume.</t>
        </is>
      </c>
    </row>
    <row r="41">
      <c r="B41" s="11" t="inlineStr">
        <is>
          <t>KEY:</t>
        </is>
      </c>
    </row>
    <row r="42">
      <c r="B42" s="15" t="inlineStr">
        <is>
          <t>Yellow = you edit</t>
        </is>
      </c>
    </row>
    <row r="43">
      <c r="B43" s="16" t="inlineStr">
        <is>
          <t>Blue/Green = auto-calculated</t>
        </is>
      </c>
    </row>
  </sheetData>
  <mergeCells count="6">
    <mergeCell ref="B4:E4"/>
    <mergeCell ref="B13:E13"/>
    <mergeCell ref="B2:E2"/>
    <mergeCell ref="B37:E37"/>
    <mergeCell ref="B28:E28"/>
    <mergeCell ref="B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 ht="24" customHeight="1">
      <c r="B2" s="5" t="inlineStr">
        <is>
          <t>PER-CASE ECONOMICS</t>
        </is>
      </c>
    </row>
    <row r="4">
      <c r="B4" s="17" t="inlineStr">
        <is>
          <t>Line (per case)</t>
        </is>
      </c>
      <c r="C4" s="17" t="inlineStr">
        <is>
          <t>Comprehensive</t>
        </is>
      </c>
      <c r="D4" s="17" t="inlineStr">
        <is>
          <t>Lite</t>
        </is>
      </c>
      <c r="E4" s="17" t="inlineStr">
        <is>
          <t>i7/Express</t>
        </is>
      </c>
      <c r="F4" s="17" t="inlineStr">
        <is>
          <t>BLENDED</t>
        </is>
      </c>
    </row>
    <row r="5">
      <c r="B5" s="18" t="inlineStr">
        <is>
          <t>Patient fee</t>
        </is>
      </c>
      <c r="C5" s="19">
        <f>'Assumptions'!C5</f>
        <v/>
      </c>
      <c r="D5" s="19">
        <f>'Assumptions'!C6</f>
        <v/>
      </c>
      <c r="E5" s="19">
        <f>'Assumptions'!C7</f>
        <v/>
      </c>
      <c r="F5" s="19">
        <f>'Assumptions'!C11</f>
        <v/>
      </c>
    </row>
    <row r="6">
      <c r="B6" s="18" t="inlineStr">
        <is>
          <t>Align lab fee (after tier discount)</t>
        </is>
      </c>
      <c r="C6" s="19">
        <f>'Assumptions'!C14*(1-'Assumptions'!C17)</f>
        <v/>
      </c>
      <c r="D6" s="19">
        <f>'Assumptions'!C15*(1-'Assumptions'!C17)</f>
        <v/>
      </c>
      <c r="E6" s="19">
        <f>'Assumptions'!C16*(1-'Assumptions'!C17)</f>
        <v/>
      </c>
      <c r="F6" s="19">
        <f>(('Assumptions'!C14*'Assumptions'!C8+'Assumptions'!C15*'Assumptions'!C9+'Assumptions'!C16*'Assumptions'!C10))*(1-'Assumptions'!C17)</f>
        <v/>
      </c>
    </row>
    <row r="7">
      <c r="B7" s="18" t="inlineStr">
        <is>
          <t>Retainer + consumables</t>
        </is>
      </c>
      <c r="C7" s="19">
        <f>'Assumptions'!C18+'Assumptions'!C19</f>
        <v/>
      </c>
      <c r="D7" s="19">
        <f>'Assumptions'!C18+'Assumptions'!C19</f>
        <v/>
      </c>
      <c r="E7" s="19">
        <f>'Assumptions'!C18+'Assumptions'!C19</f>
        <v/>
      </c>
      <c r="F7" s="19">
        <f>'Assumptions'!C18+'Assumptions'!C19</f>
        <v/>
      </c>
    </row>
    <row r="8">
      <c r="B8" s="11">
        <f> Total COGS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B9" s="11" t="inlineStr">
        <is>
          <t>Gross profit (fee − COGS)</t>
        </is>
      </c>
      <c r="C9" s="21">
        <f>C5-C8</f>
        <v/>
      </c>
      <c r="D9" s="21">
        <f>D5-D8</f>
        <v/>
      </c>
      <c r="E9" s="21">
        <f>E5-E8</f>
        <v/>
      </c>
      <c r="F9" s="21">
        <f>F5-F8</f>
        <v/>
      </c>
    </row>
    <row r="10">
      <c r="B10" s="18" t="inlineStr">
        <is>
          <t>Clinical delivery (associate split / owner time)</t>
        </is>
      </c>
      <c r="C10" s="19">
        <f>IF('Assumptions'!C23&gt;0,(C5-C6)*'Assumptions'!C23,'Assumptions'!C24*'Assumptions'!C25)</f>
        <v/>
      </c>
      <c r="D10" s="19">
        <f>IF('Assumptions'!C23&gt;0,(D5-D6)*'Assumptions'!C23,'Assumptions'!C24*'Assumptions'!C25)</f>
        <v/>
      </c>
      <c r="E10" s="19">
        <f>IF('Assumptions'!C23&gt;0,(E5-E6)*'Assumptions'!C23,'Assumptions'!C24*'Assumptions'!C25)</f>
        <v/>
      </c>
      <c r="F10" s="19">
        <f>IF('Assumptions'!C23&gt;0,(F5-F6)*'Assumptions'!C23,'Assumptions'!C24*'Assumptions'!C25)</f>
        <v/>
      </c>
    </row>
    <row r="11">
      <c r="B11" s="18" t="inlineStr">
        <is>
          <t>Marketing (blended CPA)</t>
        </is>
      </c>
      <c r="C11" s="19">
        <f>'Assumptions'!C35</f>
        <v/>
      </c>
      <c r="D11" s="19">
        <f>'Assumptions'!C35</f>
        <v/>
      </c>
      <c r="E11" s="19">
        <f>'Assumptions'!C35</f>
        <v/>
      </c>
      <c r="F11" s="19">
        <f>'Assumptions'!C35</f>
        <v/>
      </c>
    </row>
    <row r="12">
      <c r="B12" s="18" t="inlineStr">
        <is>
          <t>Variable admin / TCO / finance</t>
        </is>
      </c>
      <c r="C12" s="19">
        <f>'Assumptions'!C38</f>
        <v/>
      </c>
      <c r="D12" s="19">
        <f>'Assumptions'!C38</f>
        <v/>
      </c>
      <c r="E12" s="19">
        <f>'Assumptions'!C38</f>
        <v/>
      </c>
      <c r="F12" s="19">
        <f>'Assumptions'!C38</f>
        <v/>
      </c>
    </row>
    <row r="13">
      <c r="B13" s="11" t="inlineStr">
        <is>
          <t>NET CONTRIBUTION per case (pre-fixed-OH)</t>
        </is>
      </c>
      <c r="C13" s="14">
        <f>C9-C10-C11-C12</f>
        <v/>
      </c>
      <c r="D13" s="14">
        <f>D9-D10-D11-D12</f>
        <v/>
      </c>
      <c r="E13" s="14">
        <f>E9-E10-E11-E12</f>
        <v/>
      </c>
      <c r="F13" s="14">
        <f>F9-F10-F11-F12</f>
        <v/>
      </c>
    </row>
    <row r="14">
      <c r="B14" s="11" t="inlineStr">
        <is>
          <t>Contribution margin %</t>
        </is>
      </c>
      <c r="C14" s="22">
        <f>C13/C5</f>
        <v/>
      </c>
      <c r="D14" s="22">
        <f>D13/D5</f>
        <v/>
      </c>
      <c r="E14" s="22">
        <f>E13/E5</f>
        <v/>
      </c>
      <c r="F14" s="22">
        <f>F13/F5</f>
        <v/>
      </c>
    </row>
    <row r="16">
      <c r="B16" s="4" t="inlineStr">
        <is>
          <t>Note: 'Contribution margin' excludes fixed overhead. True NET margin after fixed overhead is on the Growth Scenarios sheet (depends on volume). Target = 30%+.</t>
        </is>
      </c>
    </row>
  </sheetData>
  <mergeCells count="2">
    <mergeCell ref="B2:F2"/>
    <mergeCell ref="B16:F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8" customWidth="1" min="3" max="3"/>
    <col width="60" customWidth="1" min="4" max="4"/>
  </cols>
  <sheetData>
    <row r="2" ht="24" customHeight="1">
      <c r="B2" s="5" t="inlineStr">
        <is>
          <t>MARKETING FUNNEL — what does my ad spend buy?</t>
        </is>
      </c>
    </row>
    <row r="4">
      <c r="B4" s="11" t="inlineStr">
        <is>
          <t>EDIT: Monthly paid ad spend (£)</t>
        </is>
      </c>
      <c r="C4" s="8" t="n">
        <v>8000</v>
      </c>
    </row>
    <row r="5">
      <c r="B5" s="18" t="inlineStr">
        <is>
          <t>Leads generated / month</t>
        </is>
      </c>
      <c r="C5" s="23">
        <f>C4/'Assumptions'!C29</f>
        <v/>
      </c>
      <c r="D5" s="4" t="inlineStr">
        <is>
          <t>spend ÷ cost-per-lead</t>
        </is>
      </c>
    </row>
    <row r="6">
      <c r="B6" s="18" t="inlineStr">
        <is>
          <t>Consults booked / month</t>
        </is>
      </c>
      <c r="C6" s="23">
        <f>C5*'Assumptions'!C30</f>
        <v/>
      </c>
      <c r="D6" s="4" t="inlineStr">
        <is>
          <t>× lead→book rate</t>
        </is>
      </c>
    </row>
    <row r="7">
      <c r="B7" s="18" t="inlineStr">
        <is>
          <t>Consults attended / month</t>
        </is>
      </c>
      <c r="C7" s="23">
        <f>C6*'Assumptions'!C31</f>
        <v/>
      </c>
      <c r="D7" s="4" t="inlineStr">
        <is>
          <t>× show rate</t>
        </is>
      </c>
    </row>
    <row r="8">
      <c r="B8" s="11" t="inlineStr">
        <is>
          <t>Cases STARTED from paid / month</t>
        </is>
      </c>
      <c r="C8" s="24">
        <f>C7*'Assumptions'!C32</f>
        <v/>
      </c>
      <c r="D8" s="4" t="inlineStr">
        <is>
          <t>× consult→start rate</t>
        </is>
      </c>
    </row>
    <row r="9">
      <c r="B9" s="18" t="inlineStr">
        <is>
          <t>Cost per started case (paid)</t>
        </is>
      </c>
      <c r="C9" s="19">
        <f>C4/C8</f>
        <v/>
      </c>
      <c r="D9" s="4" t="inlineStr">
        <is>
          <t>the honest paid CPA</t>
        </is>
      </c>
    </row>
    <row r="10">
      <c r="B10" s="18" t="inlineStr">
        <is>
          <t>Revenue from these starts / month</t>
        </is>
      </c>
      <c r="C10" s="19">
        <f>C8*'Assumptions'!C11</f>
        <v/>
      </c>
      <c r="D10" s="4" t="inlineStr">
        <is>
          <t>× blended fee</t>
        </is>
      </c>
    </row>
    <row r="11">
      <c r="B11" s="11" t="inlineStr">
        <is>
          <t>Net contribution from these starts / month</t>
        </is>
      </c>
      <c r="C11" s="25">
        <f>C8*'Per-Case Economics'!F13</f>
        <v/>
      </c>
      <c r="D11" s="4" t="inlineStr">
        <is>
          <t>× per-case net contribution</t>
        </is>
      </c>
    </row>
    <row r="12">
      <c r="B12" s="11" t="inlineStr">
        <is>
          <t>ROAS (revenue ÷ spend)</t>
        </is>
      </c>
      <c r="C12" s="26">
        <f>C10/C4</f>
        <v/>
      </c>
      <c r="D12" s="4" t="inlineStr">
        <is>
          <t>gross return on ad spend</t>
        </is>
      </c>
    </row>
    <row r="13">
      <c r="B13" s="18" t="inlineStr">
        <is>
          <t>Return on marketing £ (contribution ÷ spend)</t>
        </is>
      </c>
      <c r="C13" s="26">
        <f>C11/C4</f>
        <v/>
      </c>
      <c r="D13" s="4" t="inlineStr">
        <is>
          <t>profit return on ad spend</t>
        </is>
      </c>
    </row>
    <row r="14">
      <c r="B14" s="18" t="inlineStr">
        <is>
          <t>Annual starts from paid</t>
        </is>
      </c>
      <c r="C14" s="23">
        <f>C8*12</f>
        <v/>
      </c>
      <c r="D14" s="4" t="inlineStr"/>
    </row>
    <row r="15">
      <c r="B15" s="18" t="inlineStr">
        <is>
          <t>Annual revenue from paid</t>
        </is>
      </c>
      <c r="C15" s="19">
        <f>C10*12</f>
        <v/>
      </c>
      <c r="D15" s="4" t="inlineStr"/>
    </row>
  </sheetData>
  <mergeCells count="1"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 ht="24" customHeight="1">
      <c r="B2" s="5" t="inlineStr">
        <is>
          <t>GROWTH SCENARIOS — annual P&amp;L (Invisalign only)</t>
        </is>
      </c>
    </row>
    <row r="4">
      <c r="B4" s="27" t="inlineStr"/>
      <c r="C4" s="17" t="inlineStr">
        <is>
          <t>CURRENT</t>
        </is>
      </c>
      <c r="D4" s="17" t="inlineStr">
        <is>
          <t>YEAR 1</t>
        </is>
      </c>
      <c r="E4" s="17" t="inlineStr">
        <is>
          <t>YEAR 2</t>
        </is>
      </c>
      <c r="F4" s="17" t="inlineStr">
        <is>
          <t>DOMINATION</t>
        </is>
      </c>
    </row>
    <row r="5">
      <c r="B5" s="11" t="inlineStr">
        <is>
          <t>Cases STARTED per month (EDIT)</t>
        </is>
      </c>
      <c r="C5" s="28" t="n">
        <v>10</v>
      </c>
      <c r="D5" s="28" t="n">
        <v>20</v>
      </c>
      <c r="E5" s="28" t="n">
        <v>35</v>
      </c>
      <c r="F5" s="28" t="n">
        <v>60</v>
      </c>
    </row>
    <row r="6">
      <c r="B6" s="18" t="inlineStr">
        <is>
          <t>Cases STARTED per year</t>
        </is>
      </c>
      <c r="C6" s="23">
        <f>C5*12</f>
        <v/>
      </c>
      <c r="D6" s="23">
        <f>D5*12</f>
        <v/>
      </c>
      <c r="E6" s="23">
        <f>E5*12</f>
        <v/>
      </c>
      <c r="F6" s="23">
        <f>F5*12</f>
        <v/>
      </c>
    </row>
    <row r="7">
      <c r="B7" s="18" t="inlineStr">
        <is>
          <t>→ Implied Invisalign tier (annual)</t>
        </is>
      </c>
      <c r="C7" s="29">
        <f>IF(C6&gt;=400,"Diamond Apex",IF(C6&gt;=200,"Diamond",IF(C6&gt;=140,"Platinum Elite",IF(C6&gt;=110,"Platinum",IF(C6&gt;=30,"Gold","Silver/Bronze")))))</f>
        <v/>
      </c>
      <c r="D7" s="29">
        <f>IF(D6&gt;=400,"Diamond Apex",IF(D6&gt;=200,"Diamond",IF(D6&gt;=140,"Platinum Elite",IF(D6&gt;=110,"Platinum",IF(D6&gt;=30,"Gold","Silver/Bronze")))))</f>
        <v/>
      </c>
      <c r="E7" s="29">
        <f>IF(E6&gt;=400,"Diamond Apex",IF(E6&gt;=200,"Diamond",IF(E6&gt;=140,"Platinum Elite",IF(E6&gt;=110,"Platinum",IF(E6&gt;=30,"Gold","Silver/Bronze")))))</f>
        <v/>
      </c>
      <c r="F7" s="29">
        <f>IF(F6&gt;=400,"Diamond Apex",IF(F6&gt;=200,"Diamond",IF(F6&gt;=140,"Platinum Elite",IF(F6&gt;=110,"Platinum",IF(F6&gt;=30,"Gold","Silver/Bronze")))))</f>
        <v/>
      </c>
    </row>
    <row r="8">
      <c r="B8" s="11" t="inlineStr">
        <is>
          <t>Revenue</t>
        </is>
      </c>
      <c r="C8" s="30">
        <f>C6*'Assumptions'!C11</f>
        <v/>
      </c>
      <c r="D8" s="30">
        <f>D6*'Assumptions'!C11</f>
        <v/>
      </c>
      <c r="E8" s="30">
        <f>E6*'Assumptions'!C11</f>
        <v/>
      </c>
      <c r="F8" s="30">
        <f>F6*'Assumptions'!C11</f>
        <v/>
      </c>
    </row>
    <row r="9">
      <c r="B9" s="18" t="inlineStr">
        <is>
          <t>− COGS (lab+retainer+consumables)</t>
        </is>
      </c>
      <c r="C9" s="19">
        <f>-C6*'Per-Case Economics'!F8</f>
        <v/>
      </c>
      <c r="D9" s="19">
        <f>-D6*'Per-Case Economics'!F8</f>
        <v/>
      </c>
      <c r="E9" s="19">
        <f>-E6*'Per-Case Economics'!F8</f>
        <v/>
      </c>
      <c r="F9" s="19">
        <f>-F6*'Per-Case Economics'!F8</f>
        <v/>
      </c>
    </row>
    <row r="10">
      <c r="B10" s="18" t="inlineStr">
        <is>
          <t>− Clinical delivery</t>
        </is>
      </c>
      <c r="C10" s="19">
        <f>-C6*'Per-Case Economics'!F10</f>
        <v/>
      </c>
      <c r="D10" s="19">
        <f>-D6*'Per-Case Economics'!F10</f>
        <v/>
      </c>
      <c r="E10" s="19">
        <f>-E6*'Per-Case Economics'!F10</f>
        <v/>
      </c>
      <c r="F10" s="19">
        <f>-F6*'Per-Case Economics'!F10</f>
        <v/>
      </c>
    </row>
    <row r="11">
      <c r="B11" s="18" t="inlineStr">
        <is>
          <t>− Marketing</t>
        </is>
      </c>
      <c r="C11" s="19">
        <f>-C6*'Per-Case Economics'!F11</f>
        <v/>
      </c>
      <c r="D11" s="19">
        <f>-D6*'Per-Case Economics'!F11</f>
        <v/>
      </c>
      <c r="E11" s="19">
        <f>-E6*'Per-Case Economics'!F11</f>
        <v/>
      </c>
      <c r="F11" s="19">
        <f>-F6*'Per-Case Economics'!F11</f>
        <v/>
      </c>
    </row>
    <row r="12">
      <c r="B12" s="18" t="inlineStr">
        <is>
          <t>− Variable admin/TCO/finance</t>
        </is>
      </c>
      <c r="C12" s="19">
        <f>-C6*'Per-Case Economics'!F12</f>
        <v/>
      </c>
      <c r="D12" s="19">
        <f>-D6*'Per-Case Economics'!F12</f>
        <v/>
      </c>
      <c r="E12" s="19">
        <f>-E6*'Per-Case Economics'!F12</f>
        <v/>
      </c>
      <c r="F12" s="19">
        <f>-F6*'Per-Case Economics'!F12</f>
        <v/>
      </c>
    </row>
    <row r="13">
      <c r="B13" s="18" t="inlineStr">
        <is>
          <t>− Fixed overhead allocation</t>
        </is>
      </c>
      <c r="C13" s="19">
        <f>-'Assumptions'!C39</f>
        <v/>
      </c>
      <c r="D13" s="19">
        <f>-'Assumptions'!C39</f>
        <v/>
      </c>
      <c r="E13" s="19">
        <f>-'Assumptions'!C39</f>
        <v/>
      </c>
      <c r="F13" s="19">
        <f>-'Assumptions'!C39</f>
        <v/>
      </c>
    </row>
    <row r="14">
      <c r="B14" s="11">
        <f> NET PROFIT (Invisalign)</f>
        <v/>
      </c>
      <c r="C14" s="25">
        <f>SUM(C8:C13)</f>
        <v/>
      </c>
      <c r="D14" s="25">
        <f>SUM(D8:D13)</f>
        <v/>
      </c>
      <c r="E14" s="25">
        <f>SUM(E8:E13)</f>
        <v/>
      </c>
      <c r="F14" s="25">
        <f>SUM(F8:F13)</f>
        <v/>
      </c>
    </row>
    <row r="15">
      <c r="B15" s="11" t="inlineStr">
        <is>
          <t>NET MARGIN %</t>
        </is>
      </c>
      <c r="C15" s="31">
        <f>C14/C8</f>
        <v/>
      </c>
      <c r="D15" s="31">
        <f>D14/D8</f>
        <v/>
      </c>
      <c r="E15" s="31">
        <f>E14/E8</f>
        <v/>
      </c>
      <c r="F15" s="31">
        <f>F14/F8</f>
        <v/>
      </c>
    </row>
    <row r="16">
      <c r="B16" s="18" t="inlineStr">
        <is>
          <t>Profit per working day (240/yr)</t>
        </is>
      </c>
      <c r="C16" s="19">
        <f>C14/240</f>
        <v/>
      </c>
      <c r="D16" s="19">
        <f>D14/240</f>
        <v/>
      </c>
      <c r="E16" s="19">
        <f>E14/240</f>
        <v/>
      </c>
      <c r="F16" s="19">
        <f>F14/240</f>
        <v/>
      </c>
    </row>
    <row r="18">
      <c r="B18" s="4" t="inlineStr">
        <is>
          <t>Targets: Domination = Diamond Apex (≥400/yr). The 30% margin line is the implant-equivalent benchmark — watch the NET MARGIN row turn ≥30% as volume dilutes fixed overhead and tier discount cuts COGS.</t>
        </is>
      </c>
    </row>
  </sheetData>
  <mergeCells count="2">
    <mergeCell ref="B2:F2"/>
    <mergeCell ref="B18:F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5" customWidth="1" min="3" max="3"/>
    <col width="15" customWidth="1" min="4" max="4"/>
    <col width="15" customWidth="1" min="5" max="5"/>
    <col width="58" customWidth="1" min="6" max="6"/>
  </cols>
  <sheetData>
    <row r="2" ht="24" customHeight="1">
      <c r="B2" s="5" t="inlineStr">
        <is>
          <t>CAN INVISALIGN HIT A 30% NET MARGIN? — lever solver</t>
        </is>
      </c>
    </row>
    <row r="4">
      <c r="B4" s="4" t="inlineStr">
        <is>
          <t>Three stages: a typical mid-tier setup, then the same practice at Diamond/Apex scale, then the premium-optimised model. Each column shows net margin per case AFTER a fair share of fixed overhead.</t>
        </is>
      </c>
    </row>
    <row r="5" ht="30" customHeight="1">
      <c r="B5" s="17" t="inlineStr">
        <is>
          <t>Lever (per case)</t>
        </is>
      </c>
      <c r="C5" s="17" t="inlineStr">
        <is>
          <t>STAGE 1
Mid-tier</t>
        </is>
      </c>
      <c r="D5" s="17" t="inlineStr">
        <is>
          <t>STAGE 2
Diamond scale</t>
        </is>
      </c>
      <c r="E5" s="17" t="inlineStr">
        <is>
          <t>STAGE 3
Apex optimised</t>
        </is>
      </c>
      <c r="F5" s="17" t="inlineStr">
        <is>
          <t>What changed</t>
        </is>
      </c>
    </row>
    <row r="6">
      <c r="B6" s="18" t="inlineStr">
        <is>
          <t>Blended fee (£)</t>
        </is>
      </c>
      <c r="C6" s="32" t="n">
        <v>3400</v>
      </c>
      <c r="D6" s="32" t="n">
        <v>3800</v>
      </c>
      <c r="E6" s="32" t="n">
        <v>4100</v>
      </c>
      <c r="F6" s="4" t="inlineStr">
        <is>
          <t>Hold/raise price with stronger brand &amp; before/afters</t>
        </is>
      </c>
    </row>
    <row r="7">
      <c r="B7" s="18" t="inlineStr">
        <is>
          <t>Blended lab fee — list (£)</t>
        </is>
      </c>
      <c r="C7" s="32" t="n">
        <v>1000</v>
      </c>
      <c r="D7" s="32" t="n">
        <v>1000</v>
      </c>
      <c r="E7" s="32" t="n">
        <v>1000</v>
      </c>
      <c r="F7" s="4" t="inlineStr">
        <is>
          <t>Same Align list price</t>
        </is>
      </c>
    </row>
    <row r="8">
      <c r="B8" s="18" t="inlineStr">
        <is>
          <t>Tier discount on lab</t>
        </is>
      </c>
      <c r="C8" s="33" t="n">
        <v>0.1</v>
      </c>
      <c r="D8" s="33" t="n">
        <v>0.38</v>
      </c>
      <c r="E8" s="33" t="n">
        <v>0.46</v>
      </c>
      <c r="F8" s="4" t="inlineStr">
        <is>
          <t>Silver→Diamond→Apex unlocks bigger COGS cuts</t>
        </is>
      </c>
    </row>
    <row r="9">
      <c r="B9" s="18" t="inlineStr">
        <is>
          <t>Retainer + consumables (£)</t>
        </is>
      </c>
      <c r="C9" s="32" t="n">
        <v>275</v>
      </c>
      <c r="D9" s="32" t="n">
        <v>250</v>
      </c>
      <c r="E9" s="32" t="n">
        <v>225</v>
      </c>
      <c r="F9" s="4" t="inlineStr">
        <is>
          <t>Buying power + efficiency</t>
        </is>
      </c>
    </row>
    <row r="10">
      <c r="B10" s="18" t="inlineStr">
        <is>
          <t>Associate split of (fee−lab)</t>
        </is>
      </c>
      <c r="C10" s="33" t="n">
        <v>0.45</v>
      </c>
      <c r="D10" s="33" t="n">
        <v>0.45</v>
      </c>
      <c r="E10" s="33" t="n">
        <v>0.4</v>
      </c>
      <c r="F10" s="4" t="inlineStr">
        <is>
          <t>Productivity bonuses tied to volume, not flat %</t>
        </is>
      </c>
    </row>
    <row r="11">
      <c r="B11" s="18" t="inlineStr">
        <is>
          <t>Blended marketing CPA (£)</t>
        </is>
      </c>
      <c r="C11" s="32" t="n">
        <v>400</v>
      </c>
      <c r="D11" s="32" t="n">
        <v>250</v>
      </c>
      <c r="E11" s="32" t="n">
        <v>170</v>
      </c>
      <c r="F11" s="4" t="inlineStr">
        <is>
          <t>Organic/referral/brand reduce paid dependence</t>
        </is>
      </c>
    </row>
    <row r="12">
      <c r="B12" s="18" t="inlineStr">
        <is>
          <t>Admin/TCO/finance (£)</t>
        </is>
      </c>
      <c r="C12" s="32" t="n">
        <v>200</v>
      </c>
      <c r="D12" s="32" t="n">
        <v>175</v>
      </c>
      <c r="E12" s="32" t="n">
        <v>150</v>
      </c>
      <c r="F12" s="4" t="inlineStr">
        <is>
          <t>Process &amp; scale efficiency</t>
        </is>
      </c>
    </row>
    <row r="13">
      <c r="B13" s="18" t="inlineStr">
        <is>
          <t>Fixed overhead / case (£)</t>
        </is>
      </c>
      <c r="C13" s="32" t="n">
        <v>450</v>
      </c>
      <c r="D13" s="32" t="n">
        <v>220</v>
      </c>
      <c r="E13" s="32" t="n">
        <v>150</v>
      </c>
      <c r="F13" s="4" t="inlineStr">
        <is>
          <t>Volume dilutes fixed cost (more cases, same rent)</t>
        </is>
      </c>
    </row>
    <row r="14">
      <c r="B14" s="18" t="inlineStr">
        <is>
          <t>Lab fee after discount (£)</t>
        </is>
      </c>
      <c r="C14" s="19">
        <f>C7*(1-C8)</f>
        <v/>
      </c>
      <c r="D14" s="19">
        <f>D7*(1-D8)</f>
        <v/>
      </c>
      <c r="E14" s="19">
        <f>E7*(1-E8)</f>
        <v/>
      </c>
    </row>
    <row r="15">
      <c r="B15" s="11" t="inlineStr">
        <is>
          <t>Total COGS (£)</t>
        </is>
      </c>
      <c r="C15" s="20">
        <f>C14+C9</f>
        <v/>
      </c>
      <c r="D15" s="20">
        <f>D14+D9</f>
        <v/>
      </c>
      <c r="E15" s="20">
        <f>E14+E9</f>
        <v/>
      </c>
    </row>
    <row r="16">
      <c r="B16" s="18" t="inlineStr">
        <is>
          <t>Clinical delivery (£)</t>
        </is>
      </c>
      <c r="C16" s="19">
        <f>(C6-C14)*C10</f>
        <v/>
      </c>
      <c r="D16" s="19">
        <f>(D6-D14)*D10</f>
        <v/>
      </c>
      <c r="E16" s="19">
        <f>(E6-E14)*E10</f>
        <v/>
      </c>
    </row>
    <row r="17">
      <c r="B17" s="11" t="inlineStr">
        <is>
          <t>NET PROFIT per case (£)</t>
        </is>
      </c>
      <c r="C17" s="25">
        <f>C6-C15-C16-C11-C12-C13</f>
        <v/>
      </c>
      <c r="D17" s="25">
        <f>D6-D15-D16-D11-D12-D13</f>
        <v/>
      </c>
      <c r="E17" s="25">
        <f>E6-E15-E16-E11-E12-E13</f>
        <v/>
      </c>
    </row>
    <row r="18">
      <c r="B18" s="11" t="inlineStr">
        <is>
          <t>NET MARGIN %</t>
        </is>
      </c>
      <c r="C18" s="22">
        <f>C17/C6</f>
        <v/>
      </c>
      <c r="D18" s="22">
        <f>D17/D6</f>
        <v/>
      </c>
      <c r="E18" s="22">
        <f>E17/E6</f>
        <v/>
      </c>
    </row>
    <row r="19">
      <c r="B19" s="11" t="inlineStr">
        <is>
          <t>vs 30% target</t>
        </is>
      </c>
      <c r="C19" s="34">
        <f>IF(C18&gt;=0.3,"✓ HITS 30%","✗ below")</f>
        <v/>
      </c>
      <c r="D19" s="34">
        <f>IF(D18&gt;=0.3,"✓ HITS 30%","✗ below")</f>
        <v/>
      </c>
      <c r="E19" s="34">
        <f>IF(E18&gt;=0.3,"✓ HITS 30%","✗ below")</f>
        <v/>
      </c>
    </row>
    <row r="21">
      <c r="B21" s="35" t="inlineStr">
        <is>
          <t>VERDICT (computed): Stage 1 (mid-tier, paid-dependent, full overhead drag, 45% associate split) lands ~1–15% net — well below implants. Stage 2 (Diamond volume: COGS discount up, overhead/case down, CPA controlled, still 45% split) reaches ~20–25% — good, but the ASSOCIATE SPLIT is the ceiling. Stage 3 (Apex: premium fee, ~46% lab discount, lean £170 CPA, volume-diluted overhead AND split trimmed to 40% with productivity bonuses) clears ~35%. BOTTOM LINE: 30%+ IS achievable, but it is the combined payoff of SCALE + EFFICIENCY + the delivery model. The single biggest lever is clinical delivery cost: an associate at 45% caps you near 25%; an owner-leveraged or low-split/TCO-heavy model (set associate % lower on the Assumptions sheet) pushes 35–45%. Getting to Diamond/Apex is therefore BOTH the volume strategy and the margin strategy.</t>
        </is>
      </c>
    </row>
    <row r="22"/>
    <row r="23"/>
    <row r="24"/>
  </sheetData>
  <mergeCells count="3">
    <mergeCell ref="B2:F2"/>
    <mergeCell ref="B4:F4"/>
    <mergeCell ref="B21:F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 ht="24" customHeight="1">
      <c r="B2" s="5" t="inlineStr">
        <is>
          <t>SENSITIVITY — net contribution margin %</t>
        </is>
      </c>
    </row>
    <row r="4">
      <c r="B4" s="4" t="inlineStr">
        <is>
          <t>Margin % by FEE (rows) × BLENDED CPA (cols). Uses current COGS, associate % &amp; admin from Assumptions.</t>
        </is>
      </c>
    </row>
    <row r="6">
      <c r="B6" s="17" t="inlineStr">
        <is>
          <t>Fee ↓ / CPA →</t>
        </is>
      </c>
      <c r="C6" s="36" t="n">
        <v>150</v>
      </c>
      <c r="D6" s="36" t="n">
        <v>250</v>
      </c>
      <c r="E6" s="36" t="n">
        <v>350</v>
      </c>
      <c r="F6" s="36" t="n">
        <v>450</v>
      </c>
      <c r="G6" s="36" t="n">
        <v>550</v>
      </c>
    </row>
    <row r="7">
      <c r="B7" s="37" t="n">
        <v>3000</v>
      </c>
      <c r="C7" s="38">
        <f>(3000-'Assumptions'!C20-(3000-('Assumptions'!C20-'Assumptions'!C18-'Assumptions'!C19))*'Assumptions'!C23-150-'Assumptions'!C38)/3000</f>
        <v/>
      </c>
      <c r="D7" s="38">
        <f>(3000-'Assumptions'!C20-(3000-('Assumptions'!C20-'Assumptions'!C18-'Assumptions'!C19))*'Assumptions'!C23-250-'Assumptions'!C38)/3000</f>
        <v/>
      </c>
      <c r="E7" s="38">
        <f>(3000-'Assumptions'!C20-(3000-('Assumptions'!C20-'Assumptions'!C18-'Assumptions'!C19))*'Assumptions'!C23-350-'Assumptions'!C38)/3000</f>
        <v/>
      </c>
      <c r="F7" s="38">
        <f>(3000-'Assumptions'!C20-(3000-('Assumptions'!C20-'Assumptions'!C18-'Assumptions'!C19))*'Assumptions'!C23-450-'Assumptions'!C38)/3000</f>
        <v/>
      </c>
      <c r="G7" s="38">
        <f>(3000-'Assumptions'!C20-(3000-('Assumptions'!C20-'Assumptions'!C18-'Assumptions'!C19))*'Assumptions'!C23-550-'Assumptions'!C38)/3000</f>
        <v/>
      </c>
    </row>
    <row r="8">
      <c r="B8" s="37" t="n">
        <v>3400</v>
      </c>
      <c r="C8" s="38">
        <f>(3400-'Assumptions'!C20-(3400-('Assumptions'!C20-'Assumptions'!C18-'Assumptions'!C19))*'Assumptions'!C23-150-'Assumptions'!C38)/3400</f>
        <v/>
      </c>
      <c r="D8" s="38">
        <f>(3400-'Assumptions'!C20-(3400-('Assumptions'!C20-'Assumptions'!C18-'Assumptions'!C19))*'Assumptions'!C23-250-'Assumptions'!C38)/3400</f>
        <v/>
      </c>
      <c r="E8" s="38">
        <f>(3400-'Assumptions'!C20-(3400-('Assumptions'!C20-'Assumptions'!C18-'Assumptions'!C19))*'Assumptions'!C23-350-'Assumptions'!C38)/3400</f>
        <v/>
      </c>
      <c r="F8" s="38">
        <f>(3400-'Assumptions'!C20-(3400-('Assumptions'!C20-'Assumptions'!C18-'Assumptions'!C19))*'Assumptions'!C23-450-'Assumptions'!C38)/3400</f>
        <v/>
      </c>
      <c r="G8" s="38">
        <f>(3400-'Assumptions'!C20-(3400-('Assumptions'!C20-'Assumptions'!C18-'Assumptions'!C19))*'Assumptions'!C23-550-'Assumptions'!C38)/3400</f>
        <v/>
      </c>
    </row>
    <row r="9">
      <c r="B9" s="37" t="n">
        <v>3800</v>
      </c>
      <c r="C9" s="38">
        <f>(3800-'Assumptions'!C20-(3800-('Assumptions'!C20-'Assumptions'!C18-'Assumptions'!C19))*'Assumptions'!C23-150-'Assumptions'!C38)/3800</f>
        <v/>
      </c>
      <c r="D9" s="38">
        <f>(3800-'Assumptions'!C20-(3800-('Assumptions'!C20-'Assumptions'!C18-'Assumptions'!C19))*'Assumptions'!C23-250-'Assumptions'!C38)/3800</f>
        <v/>
      </c>
      <c r="E9" s="38">
        <f>(3800-'Assumptions'!C20-(3800-('Assumptions'!C20-'Assumptions'!C18-'Assumptions'!C19))*'Assumptions'!C23-350-'Assumptions'!C38)/3800</f>
        <v/>
      </c>
      <c r="F9" s="38">
        <f>(3800-'Assumptions'!C20-(3800-('Assumptions'!C20-'Assumptions'!C18-'Assumptions'!C19))*'Assumptions'!C23-450-'Assumptions'!C38)/3800</f>
        <v/>
      </c>
      <c r="G9" s="38">
        <f>(3800-'Assumptions'!C20-(3800-('Assumptions'!C20-'Assumptions'!C18-'Assumptions'!C19))*'Assumptions'!C23-550-'Assumptions'!C38)/3800</f>
        <v/>
      </c>
    </row>
    <row r="10">
      <c r="B10" s="37" t="n">
        <v>4200</v>
      </c>
      <c r="C10" s="38">
        <f>(4200-'Assumptions'!C20-(4200-('Assumptions'!C20-'Assumptions'!C18-'Assumptions'!C19))*'Assumptions'!C23-150-'Assumptions'!C38)/4200</f>
        <v/>
      </c>
      <c r="D10" s="38">
        <f>(4200-'Assumptions'!C20-(4200-('Assumptions'!C20-'Assumptions'!C18-'Assumptions'!C19))*'Assumptions'!C23-250-'Assumptions'!C38)/4200</f>
        <v/>
      </c>
      <c r="E10" s="38">
        <f>(4200-'Assumptions'!C20-(4200-('Assumptions'!C20-'Assumptions'!C18-'Assumptions'!C19))*'Assumptions'!C23-350-'Assumptions'!C38)/4200</f>
        <v/>
      </c>
      <c r="F10" s="38">
        <f>(4200-'Assumptions'!C20-(4200-('Assumptions'!C20-'Assumptions'!C18-'Assumptions'!C19))*'Assumptions'!C23-450-'Assumptions'!C38)/4200</f>
        <v/>
      </c>
      <c r="G10" s="38">
        <f>(4200-'Assumptions'!C20-(4200-('Assumptions'!C20-'Assumptions'!C18-'Assumptions'!C19))*'Assumptions'!C23-550-'Assumptions'!C38)/4200</f>
        <v/>
      </c>
    </row>
    <row r="11">
      <c r="B11" s="37" t="n">
        <v>4600</v>
      </c>
      <c r="C11" s="38">
        <f>(4600-'Assumptions'!C20-(4600-('Assumptions'!C20-'Assumptions'!C18-'Assumptions'!C19))*'Assumptions'!C23-150-'Assumptions'!C38)/4600</f>
        <v/>
      </c>
      <c r="D11" s="38">
        <f>(4600-'Assumptions'!C20-(4600-('Assumptions'!C20-'Assumptions'!C18-'Assumptions'!C19))*'Assumptions'!C23-250-'Assumptions'!C38)/4600</f>
        <v/>
      </c>
      <c r="E11" s="38">
        <f>(4600-'Assumptions'!C20-(4600-('Assumptions'!C20-'Assumptions'!C18-'Assumptions'!C19))*'Assumptions'!C23-350-'Assumptions'!C38)/4600</f>
        <v/>
      </c>
      <c r="F11" s="38">
        <f>(4600-'Assumptions'!C20-(4600-('Assumptions'!C20-'Assumptions'!C18-'Assumptions'!C19))*'Assumptions'!C23-450-'Assumptions'!C38)/4600</f>
        <v/>
      </c>
      <c r="G11" s="38">
        <f>(4600-'Assumptions'!C20-(4600-('Assumptions'!C20-'Assumptions'!C18-'Assumptions'!C19))*'Assumptions'!C23-550-'Assumptions'!C38)/4600</f>
        <v/>
      </c>
    </row>
    <row r="13">
      <c r="B13" s="4" t="inlineStr">
        <is>
          <t>Green ≈ at/above 30% (implant-equivalent). Red = thin. Conditional shading is approximate; use Growth Scenarios for the true after-fixed-overhead net margin.</t>
        </is>
      </c>
    </row>
  </sheetData>
  <mergeCells count="3">
    <mergeCell ref="B13:H13"/>
    <mergeCell ref="B4:H4"/>
    <mergeCell ref="B2:H2"/>
  </mergeCells>
  <conditionalFormatting sqref="C7:G11">
    <cfRule type="colorScale" priority="1">
      <colorScale>
        <cfvo type="num" val="0"/>
        <cfvo type="num" val="0.25"/>
        <cfvo type="num" val="0.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2026-06-21T20:41:34Z</dcterms:created>
  <dcterms:modified xsi:type="dcterms:W3CDTF">2026-06-21T20:41:34Z</dcterms:modified>
</cp:coreProperties>
</file>